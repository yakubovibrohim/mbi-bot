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yun 2026" state="visible" r:id="rId4"/>
  </sheets>
  <calcPr calcId="171027"/>
</workbook>
</file>

<file path=xl/sharedStrings.xml><?xml version="1.0" encoding="utf-8"?>
<sst xmlns="http://schemas.openxmlformats.org/spreadsheetml/2006/main" count="114" uniqueCount="68">
  <si>
    <t>MBI MEBEL — KASSA HISOBOTI — IYUN 2026 (to'liq oy)</t>
  </si>
  <si>
    <t>① belgili yozuvlar 24.06 boshlang'ich qoldiq (175,167,258) ichida hisobga olingan — kassa zanjiriga qayta qo'shilmaydi</t>
  </si>
  <si>
    <t>📥 KIRIM (mijoz to'lovlari)</t>
  </si>
  <si>
    <t>02.06 ①</t>
  </si>
  <si>
    <t>Boxodir aka — to'lov</t>
  </si>
  <si>
    <t>16.06 ①</t>
  </si>
  <si>
    <t>19.06 ①</t>
  </si>
  <si>
    <t>Nodira opa olmazor — to'lov</t>
  </si>
  <si>
    <t>26.06</t>
  </si>
  <si>
    <t>Sevara opa Taqachi — to'lov</t>
  </si>
  <si>
    <t>Bo'lim jami (butun oy):</t>
  </si>
  <si>
    <t xml:space="preserve">  shundan kassa hisobida (24.06 dan):</t>
  </si>
  <si>
    <t>📦 BUYURTMA XARAJATLARI</t>
  </si>
  <si>
    <t>15.06 ①</t>
  </si>
  <si>
    <t>Boxodir aka: LMDF Nazif oq 2750x1830 16mm (3x549,000); Rover (1x108,000); Prisadka (1x573,950); Raspil KDT (3x45,000); K</t>
  </si>
  <si>
    <t>30.06</t>
  </si>
  <si>
    <t>Nodira opa olmazor: 19/08 egger ДУБ КУНЕО КОРИЧНЕВЫЙ st28 (108.9x9,500)</t>
  </si>
  <si>
    <t>Nodira opa olmazor: 19/1 Дуб барокко ристретто (188.4x4,200)</t>
  </si>
  <si>
    <t>Nodira opa olmazor: Лдсп ултрадекор дуб ббарокко ристретто (2800х2070) (5x590,000); Лмдф egger дуб кунео коричневый (280</t>
  </si>
  <si>
    <t>Nodira opa olmazor: Присадка (1x2,196,015)</t>
  </si>
  <si>
    <t>🏭 ISHXONA XARAJATLARI</t>
  </si>
  <si>
    <t>20.06 ①</t>
  </si>
  <si>
    <t>Abet</t>
  </si>
  <si>
    <t>Katalog TimberZone</t>
  </si>
  <si>
    <t>25.06</t>
  </si>
  <si>
    <t>Абет</t>
  </si>
  <si>
    <t>Damas remont</t>
  </si>
  <si>
    <t>👷 AVANSLAR</t>
  </si>
  <si>
    <t>10.06 ①</t>
  </si>
  <si>
    <t>Sherzod — avans ($200)</t>
  </si>
  <si>
    <t>Diyor — avans ($200)</t>
  </si>
  <si>
    <t>Sherzod — avans ($41.67)</t>
  </si>
  <si>
    <t>Sherzod — avans ($400)</t>
  </si>
  <si>
    <t>22.06 ①</t>
  </si>
  <si>
    <t>Diyor — avans ($100)</t>
  </si>
  <si>
    <t>27.06</t>
  </si>
  <si>
    <t>Sherzod — avans ($100)</t>
  </si>
  <si>
    <t>👛 SHAXSIY XARAJATLAR</t>
  </si>
  <si>
    <t>17.06 ①</t>
  </si>
  <si>
    <t>Uy uchun ro’zg’or</t>
  </si>
  <si>
    <t>Moshina moyka + ishxona abet</t>
  </si>
  <si>
    <t>Moshina zaryadka + ujin</t>
  </si>
  <si>
    <t>Xotinga</t>
  </si>
  <si>
    <t>MuhammadAli ⚽️futbolga</t>
  </si>
  <si>
    <t>Su uchun shaxsiy ehtiyoj</t>
  </si>
  <si>
    <t>Paynet xadica</t>
  </si>
  <si>
    <t>Moyka</t>
  </si>
  <si>
    <t>23.06 ①</t>
  </si>
  <si>
    <t>دنگه</t>
  </si>
  <si>
    <t>Sartorosh</t>
  </si>
  <si>
    <t>kasha nutrilak 2</t>
  </si>
  <si>
    <t>(nomsiz shaxsiy xarajat)</t>
  </si>
  <si>
    <t>Suv</t>
  </si>
  <si>
    <t>Park</t>
  </si>
  <si>
    <t>29.06</t>
  </si>
  <si>
    <t>Balon detskiy</t>
  </si>
  <si>
    <t>Musor uchun</t>
  </si>
  <si>
    <t>Детский кровать для детей</t>
  </si>
  <si>
    <t>Karta xarajatlari 25–30.06 (bank vypiska boyicha)</t>
  </si>
  <si>
    <t>🔴 QARZ TO'LOVLARIM</t>
  </si>
  <si>
    <t>Olim aka ish (kottasi)</t>
  </si>
  <si>
    <t>Aziz aka mebelchi</t>
  </si>
  <si>
    <t>Nazif dunyo</t>
  </si>
  <si>
    <t>━━━ KASSA HISOBI (24.06 dan) ━━━</t>
  </si>
  <si>
    <t>🏦 Kassa boshlang'ich — 24.06.2026 (naqd+karta):</t>
  </si>
  <si>
    <t>(+) Kassa kirimi:</t>
  </si>
  <si>
    <t>(−) Kassa chiqimi:</t>
  </si>
  <si>
    <t>IYUN OXIRI QOLDIQ: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</si>
</sst>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808080"/>
      <sz val="9"/>
      <name val="Arial"/>
    </font>
    <font>
      <b/>
      <color rgb="FFFFFFFF"/>
      <sz val="11"/>
      <name val="Arial"/>
    </font>
    <font>
      <i/>
      <color rgb="FF006100"/>
      <name val="Arial"/>
    </font>
    <font>
      <color rgb="FF006100"/>
      <name val="Arial"/>
    </font>
    <font>
      <b/>
      <name val="Arial"/>
    </font>
    <font>
      <i/>
      <sz val="9"/>
      <name val="Arial"/>
    </font>
    <font>
      <i/>
      <color rgb="FF006100"/>
      <sz val="9"/>
      <name val="Arial"/>
    </font>
    <font>
      <i/>
      <color rgb="FF9C0006"/>
      <name val="Arial"/>
    </font>
    <font>
      <color rgb="FF9C0006"/>
      <name val="Arial"/>
    </font>
    <font>
      <i/>
      <color rgb="FF9C0006"/>
      <sz val="9"/>
      <name val="Arial"/>
    </font>
    <font>
      <b/>
      <color rgb="FF006100"/>
      <name val="Arial"/>
    </font>
    <font>
      <b/>
      <color rgb="FF9C0006"/>
      <name val="Arial"/>
    </font>
    <font>
      <b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4" borderId="1" xfId="0" applyFill="1" applyBorder="1"/>
    <xf numFmtId="3" fontId="4" fillId="4" borderId="1" xfId="0" applyNumberFormat="1" applyFont="1" applyFill="1" applyBorder="1"/>
    <xf numFmtId="0" fontId="0" fillId="0" borderId="1" xfId="0" applyBorder="1"/>
    <xf numFmtId="3" fontId="5" fillId="0" borderId="1" xfId="0" applyNumberFormat="1" applyFont="1" applyBorder="1"/>
    <xf numFmtId="0" fontId="0" fillId="5" borderId="0" xfId="0" applyFill="1"/>
    <xf numFmtId="0" fontId="6" fillId="5" borderId="0" xfId="0" applyFont="1" applyFill="1"/>
    <xf numFmtId="3" fontId="6" fillId="5" borderId="0" xfId="0" applyNumberFormat="1" applyFont="1" applyFill="1"/>
    <xf numFmtId="0" fontId="7" fillId="0" borderId="0" xfId="0" applyFont="1"/>
    <xf numFmtId="3" fontId="8" fillId="0" borderId="0" xfId="0" applyNumberFormat="1" applyFont="1"/>
    <xf numFmtId="3" fontId="9" fillId="4" borderId="1" xfId="0" applyNumberFormat="1" applyFont="1" applyFill="1" applyBorder="1"/>
    <xf numFmtId="3" fontId="10" fillId="0" borderId="1" xfId="0" applyNumberFormat="1" applyFont="1" applyBorder="1"/>
    <xf numFmtId="3" fontId="11" fillId="0" borderId="0" xfId="0" applyNumberFormat="1" applyFont="1"/>
    <xf numFmtId="0" fontId="3" fillId="2" borderId="0" xfId="0" applyFont="1" applyFill="1"/>
    <xf numFmtId="0" fontId="6" fillId="0" borderId="0" xfId="0" applyFont="1"/>
    <xf numFmtId="3" fontId="6" fillId="0" borderId="0" xfId="0" applyNumberFormat="1" applyFont="1"/>
    <xf numFmtId="3" fontId="12" fillId="0" borderId="0" xfId="0" applyNumberFormat="1" applyFont="1"/>
    <xf numFmtId="3" fontId="13" fillId="0" borderId="0" xfId="0" applyNumberFormat="1" applyFont="1"/>
    <xf numFmtId="0" fontId="0" fillId="6" borderId="0" xfId="0" applyFill="1"/>
    <xf numFmtId="0" fontId="14" fillId="6" borderId="0" xfId="0" applyFont="1" applyFill="1"/>
    <xf numFmtId="3" fontId="14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1" width="11" customWidth="1"/>
    <col min="2" max="2" width="70" customWidth="1"/>
    <col min="3" max="3" width="3" customWidth="1"/>
    <col min="4" max="4" width="17" customWidth="1"/>
    <col min="5" max="5" width="3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0" customHeight="1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4" t="s">
        <v>4</v>
      </c>
      <c r="C5" s="4"/>
      <c r="D5" s="5">
        <v>6000000</v>
      </c>
      <c r="E5" s="4"/>
    </row>
    <row r="6" spans="1:5" x14ac:dyDescent="0.25">
      <c r="A6" s="4" t="s">
        <v>5</v>
      </c>
      <c r="B6" s="4" t="s">
        <v>4</v>
      </c>
      <c r="C6" s="4"/>
      <c r="D6" s="5">
        <v>3600000</v>
      </c>
      <c r="E6" s="4"/>
    </row>
    <row r="7" spans="1:5" x14ac:dyDescent="0.25">
      <c r="A7" s="4" t="s">
        <v>6</v>
      </c>
      <c r="B7" s="4" t="s">
        <v>7</v>
      </c>
      <c r="C7" s="4"/>
      <c r="D7" s="5">
        <v>60000000</v>
      </c>
      <c r="E7" s="4"/>
    </row>
    <row r="8" spans="1:5" x14ac:dyDescent="0.25">
      <c r="A8" s="6" t="s">
        <v>8</v>
      </c>
      <c r="B8" s="6" t="s">
        <v>9</v>
      </c>
      <c r="C8" s="6"/>
      <c r="D8" s="7">
        <v>24000000</v>
      </c>
      <c r="E8" s="6"/>
    </row>
    <row r="9" spans="1:5" x14ac:dyDescent="0.25">
      <c r="A9" s="8"/>
      <c r="B9" s="9" t="s">
        <v>10</v>
      </c>
      <c r="C9" s="8"/>
      <c r="D9" s="10">
        <f>SUM(D5:D8)</f>
      </c>
      <c r="E9" s="8"/>
    </row>
    <row r="10" spans="2:4" x14ac:dyDescent="0.25">
      <c r="B10" s="11" t="s">
        <v>11</v>
      </c>
      <c r="D10" s="12">
        <f>D8</f>
      </c>
    </row>
    <row r="12" ht="20" customHeight="1" spans="1:5" x14ac:dyDescent="0.25">
      <c r="A12" s="3" t="s">
        <v>12</v>
      </c>
      <c r="B12" s="3"/>
      <c r="C12" s="3"/>
      <c r="D12" s="3"/>
      <c r="E12" s="3"/>
    </row>
    <row r="13" spans="1:5" x14ac:dyDescent="0.25">
      <c r="A13" s="4" t="s">
        <v>13</v>
      </c>
      <c r="B13" s="4" t="s">
        <v>14</v>
      </c>
      <c r="C13" s="4"/>
      <c r="D13" s="13">
        <v>4278050</v>
      </c>
      <c r="E13" s="4"/>
    </row>
    <row r="14" spans="1:5" x14ac:dyDescent="0.25">
      <c r="A14" s="6" t="s">
        <v>15</v>
      </c>
      <c r="B14" s="6" t="s">
        <v>16</v>
      </c>
      <c r="C14" s="6"/>
      <c r="D14" s="14">
        <v>1034550</v>
      </c>
      <c r="E14" s="6"/>
    </row>
    <row r="15" spans="1:5" x14ac:dyDescent="0.25">
      <c r="A15" s="6" t="s">
        <v>15</v>
      </c>
      <c r="B15" s="6" t="s">
        <v>17</v>
      </c>
      <c r="C15" s="6"/>
      <c r="D15" s="14">
        <v>791280</v>
      </c>
      <c r="E15" s="6"/>
    </row>
    <row r="16" spans="1:5" x14ac:dyDescent="0.25">
      <c r="A16" s="6" t="s">
        <v>15</v>
      </c>
      <c r="B16" s="6" t="s">
        <v>18</v>
      </c>
      <c r="C16" s="6"/>
      <c r="D16" s="14">
        <v>12470000</v>
      </c>
      <c r="E16" s="6"/>
    </row>
    <row r="17" spans="1:5" x14ac:dyDescent="0.25">
      <c r="A17" s="6" t="s">
        <v>15</v>
      </c>
      <c r="B17" s="6" t="s">
        <v>19</v>
      </c>
      <c r="C17" s="6"/>
      <c r="D17" s="14">
        <v>2196015</v>
      </c>
      <c r="E17" s="6"/>
    </row>
    <row r="18" spans="1:5" x14ac:dyDescent="0.25">
      <c r="A18" s="8"/>
      <c r="B18" s="9" t="s">
        <v>10</v>
      </c>
      <c r="C18" s="8"/>
      <c r="D18" s="10">
        <f>SUM(D13:D17)</f>
      </c>
      <c r="E18" s="8"/>
    </row>
    <row r="19" spans="2:4" x14ac:dyDescent="0.25">
      <c r="B19" s="11" t="s">
        <v>11</v>
      </c>
      <c r="D19" s="15">
        <f>D14+D15+D16+D17</f>
      </c>
    </row>
    <row r="21" ht="20" customHeight="1" spans="1:5" x14ac:dyDescent="0.25">
      <c r="A21" s="3" t="s">
        <v>20</v>
      </c>
      <c r="B21" s="3"/>
      <c r="C21" s="3"/>
      <c r="D21" s="3"/>
      <c r="E21" s="3"/>
    </row>
    <row r="22" spans="1:5" x14ac:dyDescent="0.25">
      <c r="A22" s="4" t="s">
        <v>21</v>
      </c>
      <c r="B22" s="4" t="s">
        <v>22</v>
      </c>
      <c r="C22" s="4"/>
      <c r="D22" s="13">
        <v>50000</v>
      </c>
      <c r="E22" s="4"/>
    </row>
    <row r="23" spans="1:5" x14ac:dyDescent="0.25">
      <c r="A23" s="4" t="s">
        <v>21</v>
      </c>
      <c r="B23" s="4" t="s">
        <v>23</v>
      </c>
      <c r="C23" s="4"/>
      <c r="D23" s="13">
        <v>500000</v>
      </c>
      <c r="E23" s="4"/>
    </row>
    <row r="24" spans="1:5" x14ac:dyDescent="0.25">
      <c r="A24" s="6" t="s">
        <v>24</v>
      </c>
      <c r="B24" s="6" t="s">
        <v>25</v>
      </c>
      <c r="C24" s="6"/>
      <c r="D24" s="14">
        <v>100000</v>
      </c>
      <c r="E24" s="6"/>
    </row>
    <row r="25" spans="1:5" x14ac:dyDescent="0.25">
      <c r="A25" s="6" t="s">
        <v>24</v>
      </c>
      <c r="B25" s="6" t="s">
        <v>26</v>
      </c>
      <c r="C25" s="6"/>
      <c r="D25" s="14">
        <v>400000</v>
      </c>
      <c r="E25" s="6"/>
    </row>
    <row r="26" spans="1:5" x14ac:dyDescent="0.25">
      <c r="A26" s="8"/>
      <c r="B26" s="9" t="s">
        <v>10</v>
      </c>
      <c r="C26" s="8"/>
      <c r="D26" s="10">
        <f>SUM(D22:D25)</f>
      </c>
      <c r="E26" s="8"/>
    </row>
    <row r="27" spans="2:4" x14ac:dyDescent="0.25">
      <c r="B27" s="11" t="s">
        <v>11</v>
      </c>
      <c r="D27" s="15">
        <f>D24+D25</f>
      </c>
    </row>
    <row r="29" ht="20" customHeight="1" spans="1:5" x14ac:dyDescent="0.25">
      <c r="A29" s="3" t="s">
        <v>27</v>
      </c>
      <c r="B29" s="3"/>
      <c r="C29" s="3"/>
      <c r="D29" s="3"/>
      <c r="E29" s="3"/>
    </row>
    <row r="30" spans="1:5" x14ac:dyDescent="0.25">
      <c r="A30" s="4" t="s">
        <v>28</v>
      </c>
      <c r="B30" s="4" t="s">
        <v>29</v>
      </c>
      <c r="C30" s="4"/>
      <c r="D30" s="13">
        <v>2400000</v>
      </c>
      <c r="E30" s="4"/>
    </row>
    <row r="31" spans="1:5" x14ac:dyDescent="0.25">
      <c r="A31" s="4" t="s">
        <v>5</v>
      </c>
      <c r="B31" s="4" t="s">
        <v>30</v>
      </c>
      <c r="C31" s="4"/>
      <c r="D31" s="13">
        <v>2400000</v>
      </c>
      <c r="E31" s="4"/>
    </row>
    <row r="32" spans="1:5" x14ac:dyDescent="0.25">
      <c r="A32" s="4" t="s">
        <v>5</v>
      </c>
      <c r="B32" s="4" t="s">
        <v>29</v>
      </c>
      <c r="C32" s="4"/>
      <c r="D32" s="13">
        <v>2400000</v>
      </c>
      <c r="E32" s="4"/>
    </row>
    <row r="33" spans="1:5" x14ac:dyDescent="0.25">
      <c r="A33" s="4" t="s">
        <v>6</v>
      </c>
      <c r="B33" s="4" t="s">
        <v>31</v>
      </c>
      <c r="C33" s="4"/>
      <c r="D33" s="13">
        <v>500040</v>
      </c>
      <c r="E33" s="4"/>
    </row>
    <row r="34" spans="1:5" x14ac:dyDescent="0.25">
      <c r="A34" s="4" t="s">
        <v>21</v>
      </c>
      <c r="B34" s="4" t="s">
        <v>32</v>
      </c>
      <c r="C34" s="4"/>
      <c r="D34" s="13">
        <v>4800000</v>
      </c>
      <c r="E34" s="4"/>
    </row>
    <row r="35" spans="1:5" x14ac:dyDescent="0.25">
      <c r="A35" s="4" t="s">
        <v>33</v>
      </c>
      <c r="B35" s="4" t="s">
        <v>34</v>
      </c>
      <c r="C35" s="4"/>
      <c r="D35" s="13">
        <v>1200000</v>
      </c>
      <c r="E35" s="4"/>
    </row>
    <row r="36" spans="1:5" x14ac:dyDescent="0.25">
      <c r="A36" s="6" t="s">
        <v>24</v>
      </c>
      <c r="B36" s="6" t="s">
        <v>34</v>
      </c>
      <c r="C36" s="6"/>
      <c r="D36" s="14">
        <v>1200000</v>
      </c>
      <c r="E36" s="6"/>
    </row>
    <row r="37" spans="1:5" x14ac:dyDescent="0.25">
      <c r="A37" s="6" t="s">
        <v>35</v>
      </c>
      <c r="B37" s="6" t="s">
        <v>36</v>
      </c>
      <c r="C37" s="6"/>
      <c r="D37" s="14">
        <v>1200000</v>
      </c>
      <c r="E37" s="6"/>
    </row>
    <row r="38" spans="1:5" x14ac:dyDescent="0.25">
      <c r="A38" s="8"/>
      <c r="B38" s="9" t="s">
        <v>10</v>
      </c>
      <c r="C38" s="8"/>
      <c r="D38" s="10">
        <f>SUM(D30:D37)</f>
      </c>
      <c r="E38" s="8"/>
    </row>
    <row r="39" spans="2:4" x14ac:dyDescent="0.25">
      <c r="B39" s="11" t="s">
        <v>11</v>
      </c>
      <c r="D39" s="15">
        <f>D36+D37</f>
      </c>
    </row>
    <row r="41" ht="20" customHeight="1" spans="1:5" x14ac:dyDescent="0.25">
      <c r="A41" s="3" t="s">
        <v>37</v>
      </c>
      <c r="B41" s="3"/>
      <c r="C41" s="3"/>
      <c r="D41" s="3"/>
      <c r="E41" s="3"/>
    </row>
    <row r="42" spans="1:5" x14ac:dyDescent="0.25">
      <c r="A42" s="4" t="s">
        <v>38</v>
      </c>
      <c r="B42" s="4" t="s">
        <v>39</v>
      </c>
      <c r="C42" s="4"/>
      <c r="D42" s="13">
        <v>4150000</v>
      </c>
      <c r="E42" s="4"/>
    </row>
    <row r="43" spans="1:5" x14ac:dyDescent="0.25">
      <c r="A43" s="4" t="s">
        <v>6</v>
      </c>
      <c r="B43" s="4" t="s">
        <v>40</v>
      </c>
      <c r="C43" s="4"/>
      <c r="D43" s="13">
        <v>170000</v>
      </c>
      <c r="E43" s="4"/>
    </row>
    <row r="44" spans="1:5" x14ac:dyDescent="0.25">
      <c r="A44" s="4" t="s">
        <v>6</v>
      </c>
      <c r="B44" s="4" t="s">
        <v>41</v>
      </c>
      <c r="C44" s="4"/>
      <c r="D44" s="13">
        <v>206000</v>
      </c>
      <c r="E44" s="4"/>
    </row>
    <row r="45" spans="1:5" x14ac:dyDescent="0.25">
      <c r="A45" s="4" t="s">
        <v>6</v>
      </c>
      <c r="B45" s="4" t="s">
        <v>42</v>
      </c>
      <c r="C45" s="4"/>
      <c r="D45" s="13">
        <v>400000</v>
      </c>
      <c r="E45" s="4"/>
    </row>
    <row r="46" spans="1:5" x14ac:dyDescent="0.25">
      <c r="A46" s="4" t="s">
        <v>6</v>
      </c>
      <c r="B46" s="4" t="s">
        <v>43</v>
      </c>
      <c r="C46" s="4"/>
      <c r="D46" s="13">
        <v>880000</v>
      </c>
      <c r="E46" s="4"/>
    </row>
    <row r="47" spans="1:5" x14ac:dyDescent="0.25">
      <c r="A47" s="4" t="s">
        <v>6</v>
      </c>
      <c r="B47" s="4" t="s">
        <v>44</v>
      </c>
      <c r="C47" s="4"/>
      <c r="D47" s="13">
        <v>30000</v>
      </c>
      <c r="E47" s="4"/>
    </row>
    <row r="48" spans="1:5" x14ac:dyDescent="0.25">
      <c r="A48" s="4" t="s">
        <v>21</v>
      </c>
      <c r="B48" s="4" t="s">
        <v>42</v>
      </c>
      <c r="C48" s="4"/>
      <c r="D48" s="13">
        <v>400000</v>
      </c>
      <c r="E48" s="4"/>
    </row>
    <row r="49" spans="1:5" x14ac:dyDescent="0.25">
      <c r="A49" s="4" t="s">
        <v>21</v>
      </c>
      <c r="B49" s="4" t="s">
        <v>25</v>
      </c>
      <c r="C49" s="4"/>
      <c r="D49" s="13">
        <v>75000</v>
      </c>
      <c r="E49" s="4"/>
    </row>
    <row r="50" spans="1:5" x14ac:dyDescent="0.25">
      <c r="A50" s="4" t="s">
        <v>33</v>
      </c>
      <c r="B50" s="4" t="s">
        <v>45</v>
      </c>
      <c r="C50" s="4"/>
      <c r="D50" s="13">
        <v>70000</v>
      </c>
      <c r="E50" s="4"/>
    </row>
    <row r="51" spans="1:5" x14ac:dyDescent="0.25">
      <c r="A51" s="4" t="s">
        <v>33</v>
      </c>
      <c r="B51" s="4" t="s">
        <v>46</v>
      </c>
      <c r="C51" s="4"/>
      <c r="D51" s="13">
        <v>110000</v>
      </c>
      <c r="E51" s="4"/>
    </row>
    <row r="52" spans="1:5" x14ac:dyDescent="0.25">
      <c r="A52" s="4" t="s">
        <v>47</v>
      </c>
      <c r="B52" s="4" t="s">
        <v>48</v>
      </c>
      <c r="C52" s="4"/>
      <c r="D52" s="13">
        <v>300000</v>
      </c>
      <c r="E52" s="4"/>
    </row>
    <row r="53" spans="1:5" x14ac:dyDescent="0.25">
      <c r="A53" s="4" t="s">
        <v>47</v>
      </c>
      <c r="B53" s="4" t="s">
        <v>49</v>
      </c>
      <c r="C53" s="4"/>
      <c r="D53" s="13">
        <v>100000</v>
      </c>
      <c r="E53" s="4"/>
    </row>
    <row r="54" spans="1:5" x14ac:dyDescent="0.25">
      <c r="A54" s="6" t="s">
        <v>24</v>
      </c>
      <c r="B54" s="6" t="s">
        <v>50</v>
      </c>
      <c r="C54" s="6"/>
      <c r="D54" s="14">
        <v>200000</v>
      </c>
      <c r="E54" s="6"/>
    </row>
    <row r="55" spans="1:5" x14ac:dyDescent="0.25">
      <c r="A55" s="6" t="s">
        <v>8</v>
      </c>
      <c r="B55" s="6" t="s">
        <v>51</v>
      </c>
      <c r="C55" s="6"/>
      <c r="D55" s="14">
        <v>1515000</v>
      </c>
      <c r="E55" s="6"/>
    </row>
    <row r="56" spans="1:5" x14ac:dyDescent="0.25">
      <c r="A56" s="6" t="s">
        <v>35</v>
      </c>
      <c r="B56" s="6" t="s">
        <v>52</v>
      </c>
      <c r="C56" s="6"/>
      <c r="D56" s="14">
        <v>50000</v>
      </c>
      <c r="E56" s="6"/>
    </row>
    <row r="57" spans="1:5" x14ac:dyDescent="0.25">
      <c r="A57" s="6" t="s">
        <v>35</v>
      </c>
      <c r="B57" s="6" t="s">
        <v>52</v>
      </c>
      <c r="C57" s="6"/>
      <c r="D57" s="14">
        <v>38000</v>
      </c>
      <c r="E57" s="6"/>
    </row>
    <row r="58" spans="1:5" x14ac:dyDescent="0.25">
      <c r="A58" s="6" t="s">
        <v>35</v>
      </c>
      <c r="B58" s="6" t="s">
        <v>53</v>
      </c>
      <c r="C58" s="6"/>
      <c r="D58" s="14">
        <v>1120000</v>
      </c>
      <c r="E58" s="6"/>
    </row>
    <row r="59" spans="1:5" x14ac:dyDescent="0.25">
      <c r="A59" s="6" t="s">
        <v>54</v>
      </c>
      <c r="B59" s="6" t="s">
        <v>55</v>
      </c>
      <c r="C59" s="6"/>
      <c r="D59" s="14">
        <v>210000</v>
      </c>
      <c r="E59" s="6"/>
    </row>
    <row r="60" spans="1:5" x14ac:dyDescent="0.25">
      <c r="A60" s="6" t="s">
        <v>54</v>
      </c>
      <c r="B60" s="6" t="s">
        <v>56</v>
      </c>
      <c r="C60" s="6"/>
      <c r="D60" s="14">
        <v>150000</v>
      </c>
      <c r="E60" s="6"/>
    </row>
    <row r="61" spans="1:5" x14ac:dyDescent="0.25">
      <c r="A61" s="6" t="s">
        <v>15</v>
      </c>
      <c r="B61" s="6" t="s">
        <v>57</v>
      </c>
      <c r="C61" s="6"/>
      <c r="D61" s="14">
        <v>9666000</v>
      </c>
      <c r="E61" s="6"/>
    </row>
    <row r="62" spans="1:5" x14ac:dyDescent="0.25">
      <c r="A62" s="6" t="s">
        <v>15</v>
      </c>
      <c r="B62" s="6" t="s">
        <v>58</v>
      </c>
      <c r="C62" s="6"/>
      <c r="D62" s="14">
        <v>2262354</v>
      </c>
      <c r="E62" s="6"/>
    </row>
    <row r="63" spans="1:5" x14ac:dyDescent="0.25">
      <c r="A63" s="8"/>
      <c r="B63" s="9" t="s">
        <v>10</v>
      </c>
      <c r="C63" s="8"/>
      <c r="D63" s="10">
        <f>SUM(D42:D62)</f>
      </c>
      <c r="E63" s="8"/>
    </row>
    <row r="64" spans="2:4" x14ac:dyDescent="0.25">
      <c r="B64" s="11" t="s">
        <v>11</v>
      </c>
      <c r="D64" s="15">
        <f>D54+D55+D56+D57+D58+D59+D60+D61+D62</f>
      </c>
    </row>
    <row r="66" ht="20" customHeight="1" spans="1:5" x14ac:dyDescent="0.25">
      <c r="A66" s="3" t="s">
        <v>59</v>
      </c>
      <c r="B66" s="3"/>
      <c r="C66" s="3"/>
      <c r="D66" s="3"/>
      <c r="E66" s="3"/>
    </row>
    <row r="67" spans="1:5" x14ac:dyDescent="0.25">
      <c r="A67" s="4" t="s">
        <v>38</v>
      </c>
      <c r="B67" s="4" t="s">
        <v>60</v>
      </c>
      <c r="C67" s="4"/>
      <c r="D67" s="13">
        <v>2400000</v>
      </c>
      <c r="E67" s="4"/>
    </row>
    <row r="68" spans="1:5" x14ac:dyDescent="0.25">
      <c r="A68" s="4" t="s">
        <v>38</v>
      </c>
      <c r="B68" s="4" t="s">
        <v>61</v>
      </c>
      <c r="C68" s="4"/>
      <c r="D68" s="13">
        <v>1200000</v>
      </c>
      <c r="E68" s="4"/>
    </row>
    <row r="69" spans="1:5" x14ac:dyDescent="0.25">
      <c r="A69" s="4" t="s">
        <v>38</v>
      </c>
      <c r="B69" s="4" t="s">
        <v>62</v>
      </c>
      <c r="C69" s="4"/>
      <c r="D69" s="13">
        <v>2811950</v>
      </c>
      <c r="E69" s="4"/>
    </row>
    <row r="70" spans="1:5" x14ac:dyDescent="0.25">
      <c r="A70" s="8"/>
      <c r="B70" s="9" t="s">
        <v>10</v>
      </c>
      <c r="C70" s="8"/>
      <c r="D70" s="10">
        <f>SUM(D67:D69)</f>
      </c>
      <c r="E70" s="8"/>
    </row>
    <row r="72" spans="1:5" x14ac:dyDescent="0.25">
      <c r="A72" s="16" t="s">
        <v>63</v>
      </c>
      <c r="B72" s="16"/>
      <c r="C72" s="16"/>
      <c r="D72" s="16"/>
      <c r="E72" s="16"/>
    </row>
    <row r="73" spans="2:4" x14ac:dyDescent="0.25">
      <c r="B73" s="17" t="s">
        <v>64</v>
      </c>
      <c r="D73" s="18">
        <v>175167258</v>
      </c>
    </row>
    <row r="74" spans="2:4" x14ac:dyDescent="0.25">
      <c r="B74" s="17" t="s">
        <v>65</v>
      </c>
      <c r="D74" s="19">
        <f>D10</f>
      </c>
    </row>
    <row r="75" spans="2:4" x14ac:dyDescent="0.25">
      <c r="B75" s="17" t="s">
        <v>66</v>
      </c>
      <c r="D75" s="20">
        <f>D19+D27+D39+D64</f>
      </c>
    </row>
    <row r="76" ht="22" customHeight="1" spans="1:5" x14ac:dyDescent="0.25">
      <c r="A76" s="21"/>
      <c r="B76" s="22" t="s">
        <v>67</v>
      </c>
      <c r="C76" s="21"/>
      <c r="D76" s="23">
        <f>D73+D74-D75</f>
      </c>
      <c r="E76" s="21"/>
    </row>
  </sheetData>
  <mergeCells count="9">
    <mergeCell ref="A1:E1"/>
    <mergeCell ref="A2:E2"/>
    <mergeCell ref="A4:E4"/>
    <mergeCell ref="A12:E12"/>
    <mergeCell ref="A21:E21"/>
    <mergeCell ref="A29:E29"/>
    <mergeCell ref="A41:E41"/>
    <mergeCell ref="A66:E66"/>
    <mergeCell ref="A72:E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Iyun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2026-07-07T07:11:56Z</dcterms:created>
  <dcterms:modified xsi:type="dcterms:W3CDTF">2026-07-07T07:11:56Z</dcterms:modified>
</cp:coreProperties>
</file>