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ntyabr 2026" state="visible" r:id="rId4"/>
  </sheets>
  <calcPr calcId="171027"/>
</workbook>
</file>

<file path=xl/sharedStrings.xml><?xml version="1.0" encoding="utf-8"?>
<sst xmlns="http://schemas.openxmlformats.org/spreadsheetml/2006/main" count="182" uniqueCount="102">
  <si>
    <t>MBI MEBEL — KASSA HISOBOTI — SENTYABR 2026</t>
  </si>
  <si>
    <t>💳 KARTA KIRIMLARI</t>
  </si>
  <si>
    <t>09.09</t>
  </si>
  <si>
    <t>💳 TBC EDIN EPOS H2U, UZ</t>
  </si>
  <si>
    <t>Bo'lim jami:</t>
  </si>
  <si>
    <t>📦 BUYURTMA XARAJATLARI</t>
  </si>
  <si>
    <t>08.09</t>
  </si>
  <si>
    <t>Sevara opa Taqachi: tosh (1x3,000,000)</t>
  </si>
  <si>
    <t>Sevara opa Taqachi: Kraska (1x1,644,000)</t>
  </si>
  <si>
    <t>Sevara opa Taqachi: Gruntovka (1x1,812,000)</t>
  </si>
  <si>
    <t>Sevara opa Taqachi: Raspil (1x10,700,000)</t>
  </si>
  <si>
    <t>19.09</t>
  </si>
  <si>
    <t>Nodira opa olmazor: 💳 IYB P2P, UZ</t>
  </si>
  <si>
    <t>Nodira opa olmazor: Tkani (10x120,000); tkani (20x120,000)</t>
  </si>
  <si>
    <t>Nodira opa olmazor: 💳 IYM UZCARD2VISA S KOMISS, UZ</t>
  </si>
  <si>
    <t>23.09</t>
  </si>
  <si>
    <t>Nodira opa olmazor: 💳 OOO  CHIN WOOD SERVICE, UZ</t>
  </si>
  <si>
    <t>Nodira opa olmazor: hettich furnitura (1x11,160,000)</t>
  </si>
  <si>
    <t>Nodira opa olmazor: kromka 19/1 белый премиум (151x7,500); Кромка 19/1 белый гладкий (272.2x4,200); Кромка 21/1 P001 (15</t>
  </si>
  <si>
    <t>Nodira opa olmazor: ЛМДФ белый гладкий назиф 16мм (10x603,000)</t>
  </si>
  <si>
    <t>Nodira opa olmazor: ЛМДФ белый гладкий назиф 8мм (3x470,000)</t>
  </si>
  <si>
    <t>Nodira opa olmazor: Хдф назиф белый (2x170,000)</t>
  </si>
  <si>
    <t>Nodira opa olmazor: услуга присадка + распил (1x4,081,000)</t>
  </si>
  <si>
    <t>Nodira opa olmazor: 💳 OOO FOREX MEBEL, UZ</t>
  </si>
  <si>
    <t>Nodira opa olmazor: Aluframe fasad (1x2,160,000)</t>
  </si>
  <si>
    <t>Nodira opa olmazor: GTV Направляющая, шариковая, h-45, L-450 мм, Пуш (3x74,400); GTV Направл. Модерн Эд, 3D, с доводчико</t>
  </si>
  <si>
    <t>Nodira opa olmazor: Mesan ношка 104.39.02 (16x33,000); Mesan полкадержател (50x1,320)</t>
  </si>
  <si>
    <t>26.09</t>
  </si>
  <si>
    <t>Nodira opa olmazor: Rover (1x1,510,000)</t>
  </si>
  <si>
    <t>🏭 ISHXONA XARAJATLARI</t>
  </si>
  <si>
    <t>02.09</t>
  </si>
  <si>
    <t>💳 Wifi</t>
  </si>
  <si>
    <t>04.09</t>
  </si>
  <si>
    <t>💳 Vizaga</t>
  </si>
  <si>
    <t>05.09</t>
  </si>
  <si>
    <t>💳 abet</t>
  </si>
  <si>
    <t>💳 Viza</t>
  </si>
  <si>
    <t>07.09</t>
  </si>
  <si>
    <t>💳 Abet</t>
  </si>
  <si>
    <t>10.09</t>
  </si>
  <si>
    <t>💳 Target</t>
  </si>
  <si>
    <t>16.09</t>
  </si>
  <si>
    <t>💳 Таргет</t>
  </si>
  <si>
    <t>21.09</t>
  </si>
  <si>
    <t>💳 Claude</t>
  </si>
  <si>
    <t>22.09</t>
  </si>
  <si>
    <t>💳 Сув</t>
  </si>
  <si>
    <t>27.09</t>
  </si>
  <si>
    <t>💳 Абет</t>
  </si>
  <si>
    <t>👛 SHAXSIY XARAJATLAR</t>
  </si>
  <si>
    <t>01.09</t>
  </si>
  <si>
    <t>💳 Paynet</t>
  </si>
  <si>
    <t>💳 blmiman</t>
  </si>
  <si>
    <t>💳 HGT DOMO, UZ</t>
  </si>
  <si>
    <t>💳 socials restoran</t>
  </si>
  <si>
    <t>💳 Blmiman</t>
  </si>
  <si>
    <t>06.09</t>
  </si>
  <si>
    <t>💳 Uyga rozgor</t>
  </si>
  <si>
    <t>💳 paynet</t>
  </si>
  <si>
    <t>💳 Qzil pasport</t>
  </si>
  <si>
    <t>💳 Kino</t>
  </si>
  <si>
    <t>💳 Зарядка</t>
  </si>
  <si>
    <t>💳 Интернет уй</t>
  </si>
  <si>
    <t>💳 Sigaret</t>
  </si>
  <si>
    <t>💳 Svet</t>
  </si>
  <si>
    <t>11.09</t>
  </si>
  <si>
    <t>💳 Propan</t>
  </si>
  <si>
    <t>💳 Suv</t>
  </si>
  <si>
    <t>13.09</t>
  </si>
  <si>
    <t>💳 Korzinka</t>
  </si>
  <si>
    <t>14.09</t>
  </si>
  <si>
    <t>💳 Xadicha</t>
  </si>
  <si>
    <t>💳 Блмиман</t>
  </si>
  <si>
    <t>💳 Дисерт</t>
  </si>
  <si>
    <t>17.09</t>
  </si>
  <si>
    <t>💳 Ремонт телефон</t>
  </si>
  <si>
    <t>💳 O’zimga</t>
  </si>
  <si>
    <t>💳 Dostavka</t>
  </si>
  <si>
    <t>18.09</t>
  </si>
  <si>
    <t>💳 MULTICARD ECOM, UZ</t>
  </si>
  <si>
    <t>💳 Benzin</t>
  </si>
  <si>
    <t>💳 Пайнет</t>
  </si>
  <si>
    <t>💳 Сигареты</t>
  </si>
  <si>
    <t>💳 Такси</t>
  </si>
  <si>
    <t>💳 Bogcha</t>
  </si>
  <si>
    <t>💳 Страховка</t>
  </si>
  <si>
    <t>24.09</t>
  </si>
  <si>
    <t>💳 Пропан</t>
  </si>
  <si>
    <t>25.09</t>
  </si>
  <si>
    <t>Onamga</t>
  </si>
  <si>
    <t>xotinga</t>
  </si>
  <si>
    <t>💳 PAYME P2P, UZ</t>
  </si>
  <si>
    <t>💳 OOO YANDEXGO UB, UZ</t>
  </si>
  <si>
    <t>💳 IP OOO YANDEX EATS, UZ</t>
  </si>
  <si>
    <t>💳 MCHJ DARVOZA SAVDO M116 FAMILY,  , XAMIDXONOBOD 38</t>
  </si>
  <si>
    <t>🔴 QARZ TO'LOVLARIM</t>
  </si>
  <si>
    <t>Rustam aka mebel usta</t>
  </si>
  <si>
    <t>━━━ KASSA HISOBI ━━━</t>
  </si>
  <si>
    <t>🏦 Oy boshiga qoldiq (01.09.2026):</t>
  </si>
  <si>
    <t>(+) Kassa kirimi:</t>
  </si>
  <si>
    <t>(−) Kassa chiqimi:</t>
  </si>
  <si>
    <t>SENTYABR OXIRI QOLDIQ: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</si>
</sst>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sz val="14"/>
      <name val="Arial"/>
    </font>
    <font>
      <b/>
      <color rgb="FFFFFFFF"/>
      <sz val="11"/>
      <name val="Arial"/>
    </font>
    <font>
      <color rgb="FF006100"/>
      <name val="Arial"/>
    </font>
    <font>
      <b/>
      <name val="Arial"/>
    </font>
    <font>
      <color rgb="FF9C0006"/>
      <name val="Arial"/>
    </font>
    <font>
      <b/>
      <color rgb="FF006100"/>
      <name val="Arial"/>
    </font>
    <font>
      <b/>
      <color rgb="FF9C0006"/>
      <name val="Arial"/>
    </font>
    <font>
      <b/>
      <sz val="13"/>
      <name val="Arial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2F5597"/>
      </patternFill>
    </fill>
    <fill>
      <patternFill patternType="solid">
        <fgColor rgb="FFFFF2CC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/>
    <xf numFmtId="0" fontId="0" fillId="0" borderId="1" xfId="0" applyBorder="1"/>
    <xf numFmtId="3" fontId="3" fillId="0" borderId="1" xfId="0" applyNumberFormat="1" applyFont="1" applyBorder="1"/>
    <xf numFmtId="0" fontId="0" fillId="4" borderId="0" xfId="0" applyFill="1"/>
    <xf numFmtId="0" fontId="4" fillId="4" borderId="0" xfId="0" applyFont="1" applyFill="1"/>
    <xf numFmtId="3" fontId="4" fillId="4" borderId="0" xfId="0" applyNumberFormat="1" applyFont="1" applyFill="1"/>
    <xf numFmtId="3" fontId="5" fillId="0" borderId="1" xfId="0" applyNumberFormat="1" applyFont="1" applyBorder="1"/>
    <xf numFmtId="0" fontId="2" fillId="2" borderId="0" xfId="0" applyFont="1" applyFill="1"/>
    <xf numFmtId="0" fontId="4" fillId="0" borderId="0" xfId="0" applyFont="1"/>
    <xf numFmtId="3" fontId="4" fillId="0" borderId="0" xfId="0" applyNumberFormat="1" applyFont="1"/>
    <xf numFmtId="3" fontId="6" fillId="0" borderId="0" xfId="0" applyNumberFormat="1" applyFont="1"/>
    <xf numFmtId="3" fontId="7" fillId="0" borderId="0" xfId="0" applyNumberFormat="1" applyFont="1"/>
    <xf numFmtId="0" fontId="0" fillId="5" borderId="0" xfId="0" applyFill="1"/>
    <xf numFmtId="0" fontId="8" fillId="5" borderId="0" xfId="0" applyFont="1" applyFill="1"/>
    <xf numFmtId="3" fontId="8" fillId="5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5"/>
  <sheetFormatPr defaultRowHeight="15" outlineLevelRow="0" outlineLevelCol="0" x14ac:dyDescent="55"/>
  <cols>
    <col min="1" max="1" width="11" customWidth="1"/>
    <col min="2" max="2" width="70" customWidth="1"/>
    <col min="3" max="3" width="3" customWidth="1"/>
    <col min="4" max="4" width="17" customWidth="1"/>
    <col min="5" max="5" width="3" customWidth="1"/>
  </cols>
  <sheetData>
    <row r="1" ht="26" customHeight="1" spans="1:5" x14ac:dyDescent="0.25">
      <c r="A1" s="1" t="s">
        <v>0</v>
      </c>
      <c r="B1" s="1"/>
      <c r="C1" s="1"/>
      <c r="D1" s="1"/>
      <c r="E1" s="1"/>
    </row>
    <row r="3" ht="20" customHeight="1" spans="1:5" x14ac:dyDescent="0.25">
      <c r="A3" s="2" t="s">
        <v>1</v>
      </c>
      <c r="B3" s="2"/>
      <c r="C3" s="2"/>
      <c r="D3" s="2"/>
      <c r="E3" s="2"/>
    </row>
    <row r="4" spans="1:5" x14ac:dyDescent="0.25">
      <c r="A4" s="3" t="s">
        <v>2</v>
      </c>
      <c r="B4" s="3" t="s">
        <v>3</v>
      </c>
      <c r="C4" s="3"/>
      <c r="D4" s="4">
        <v>1200000</v>
      </c>
      <c r="E4" s="3"/>
    </row>
    <row r="5" spans="1:5" x14ac:dyDescent="0.25">
      <c r="A5" s="5"/>
      <c r="B5" s="6" t="s">
        <v>4</v>
      </c>
      <c r="C5" s="5"/>
      <c r="D5" s="7">
        <f>SUM(D4:D4)</f>
      </c>
      <c r="E5" s="5"/>
    </row>
    <row r="7" ht="20" customHeight="1" spans="1:5" x14ac:dyDescent="0.25">
      <c r="A7" s="2" t="s">
        <v>5</v>
      </c>
      <c r="B7" s="2"/>
      <c r="C7" s="2"/>
      <c r="D7" s="2"/>
      <c r="E7" s="2"/>
    </row>
    <row r="8" spans="1:5" x14ac:dyDescent="0.25">
      <c r="A8" s="3" t="s">
        <v>6</v>
      </c>
      <c r="B8" s="3" t="s">
        <v>7</v>
      </c>
      <c r="C8" s="3"/>
      <c r="D8" s="8">
        <v>3000000</v>
      </c>
      <c r="E8" s="3"/>
    </row>
    <row r="9" spans="1:5" x14ac:dyDescent="0.25">
      <c r="A9" s="3" t="s">
        <v>6</v>
      </c>
      <c r="B9" s="3" t="s">
        <v>8</v>
      </c>
      <c r="C9" s="3"/>
      <c r="D9" s="8">
        <v>1644000</v>
      </c>
      <c r="E9" s="3"/>
    </row>
    <row r="10" spans="1:5" x14ac:dyDescent="0.25">
      <c r="A10" s="3" t="s">
        <v>6</v>
      </c>
      <c r="B10" s="3" t="s">
        <v>9</v>
      </c>
      <c r="C10" s="3"/>
      <c r="D10" s="8">
        <v>1812000</v>
      </c>
      <c r="E10" s="3"/>
    </row>
    <row r="11" spans="1:5" x14ac:dyDescent="0.25">
      <c r="A11" s="3" t="s">
        <v>6</v>
      </c>
      <c r="B11" s="3" t="s">
        <v>10</v>
      </c>
      <c r="C11" s="3"/>
      <c r="D11" s="8">
        <v>10700000</v>
      </c>
      <c r="E11" s="3"/>
    </row>
    <row r="12" spans="1:5" x14ac:dyDescent="0.25">
      <c r="A12" s="3" t="s">
        <v>11</v>
      </c>
      <c r="B12" s="3" t="s">
        <v>12</v>
      </c>
      <c r="C12" s="3"/>
      <c r="D12" s="8">
        <v>50000</v>
      </c>
      <c r="E12" s="3"/>
    </row>
    <row r="13" spans="1:5" x14ac:dyDescent="0.25">
      <c r="A13" s="3" t="s">
        <v>11</v>
      </c>
      <c r="B13" s="3" t="s">
        <v>13</v>
      </c>
      <c r="C13" s="3"/>
      <c r="D13" s="8">
        <v>3600000</v>
      </c>
      <c r="E13" s="3"/>
    </row>
    <row r="14" spans="1:5" x14ac:dyDescent="0.25">
      <c r="A14" s="3" t="s">
        <v>11</v>
      </c>
      <c r="B14" s="3" t="s">
        <v>14</v>
      </c>
      <c r="C14" s="3"/>
      <c r="D14" s="8">
        <v>735475</v>
      </c>
      <c r="E14" s="3"/>
    </row>
    <row r="15" spans="1:5" x14ac:dyDescent="0.25">
      <c r="A15" s="3" t="s">
        <v>15</v>
      </c>
      <c r="B15" s="3" t="s">
        <v>16</v>
      </c>
      <c r="C15" s="3"/>
      <c r="D15" s="8">
        <v>335104</v>
      </c>
      <c r="E15" s="3"/>
    </row>
    <row r="16" spans="1:5" x14ac:dyDescent="0.25">
      <c r="A16" s="3" t="s">
        <v>15</v>
      </c>
      <c r="B16" s="3" t="s">
        <v>17</v>
      </c>
      <c r="C16" s="3"/>
      <c r="D16" s="8">
        <v>11160000</v>
      </c>
      <c r="E16" s="3"/>
    </row>
    <row r="17" spans="1:5" x14ac:dyDescent="0.25">
      <c r="A17" s="3" t="s">
        <v>15</v>
      </c>
      <c r="B17" s="3" t="s">
        <v>18</v>
      </c>
      <c r="C17" s="3"/>
      <c r="D17" s="8">
        <v>16797540</v>
      </c>
      <c r="E17" s="3"/>
    </row>
    <row r="18" spans="1:5" x14ac:dyDescent="0.25">
      <c r="A18" s="3" t="s">
        <v>15</v>
      </c>
      <c r="B18" s="3" t="s">
        <v>19</v>
      </c>
      <c r="C18" s="3"/>
      <c r="D18" s="8">
        <v>6030000</v>
      </c>
      <c r="E18" s="3"/>
    </row>
    <row r="19" spans="1:5" x14ac:dyDescent="0.25">
      <c r="A19" s="3" t="s">
        <v>15</v>
      </c>
      <c r="B19" s="3" t="s">
        <v>20</v>
      </c>
      <c r="C19" s="3"/>
      <c r="D19" s="8">
        <v>1410000</v>
      </c>
      <c r="E19" s="3"/>
    </row>
    <row r="20" spans="1:5" x14ac:dyDescent="0.25">
      <c r="A20" s="3" t="s">
        <v>15</v>
      </c>
      <c r="B20" s="3" t="s">
        <v>21</v>
      </c>
      <c r="C20" s="3"/>
      <c r="D20" s="8">
        <v>340000</v>
      </c>
      <c r="E20" s="3"/>
    </row>
    <row r="21" spans="1:5" x14ac:dyDescent="0.25">
      <c r="A21" s="3" t="s">
        <v>15</v>
      </c>
      <c r="B21" s="3" t="s">
        <v>22</v>
      </c>
      <c r="C21" s="3"/>
      <c r="D21" s="8">
        <v>4081000</v>
      </c>
      <c r="E21" s="3"/>
    </row>
    <row r="22" spans="1:5" x14ac:dyDescent="0.25">
      <c r="A22" s="3" t="s">
        <v>15</v>
      </c>
      <c r="B22" s="3" t="s">
        <v>23</v>
      </c>
      <c r="C22" s="3"/>
      <c r="D22" s="8">
        <v>161000</v>
      </c>
      <c r="E22" s="3"/>
    </row>
    <row r="23" spans="1:5" x14ac:dyDescent="0.25">
      <c r="A23" s="3" t="s">
        <v>15</v>
      </c>
      <c r="B23" s="3" t="s">
        <v>24</v>
      </c>
      <c r="C23" s="3"/>
      <c r="D23" s="8">
        <v>2160000</v>
      </c>
      <c r="E23" s="3"/>
    </row>
    <row r="24" spans="1:5" x14ac:dyDescent="0.25">
      <c r="A24" s="3" t="s">
        <v>15</v>
      </c>
      <c r="B24" s="3" t="s">
        <v>25</v>
      </c>
      <c r="C24" s="3"/>
      <c r="D24" s="8">
        <v>2563200</v>
      </c>
      <c r="E24" s="3"/>
    </row>
    <row r="25" spans="1:5" x14ac:dyDescent="0.25">
      <c r="A25" s="3" t="s">
        <v>15</v>
      </c>
      <c r="B25" s="3" t="s">
        <v>26</v>
      </c>
      <c r="C25" s="3"/>
      <c r="D25" s="8">
        <v>594000</v>
      </c>
      <c r="E25" s="3"/>
    </row>
    <row r="26" spans="1:5" x14ac:dyDescent="0.25">
      <c r="A26" s="3" t="s">
        <v>27</v>
      </c>
      <c r="B26" s="3" t="s">
        <v>28</v>
      </c>
      <c r="C26" s="3"/>
      <c r="D26" s="8">
        <v>1510000</v>
      </c>
      <c r="E26" s="3"/>
    </row>
    <row r="27" spans="1:5" x14ac:dyDescent="0.25">
      <c r="A27" s="5"/>
      <c r="B27" s="6" t="s">
        <v>4</v>
      </c>
      <c r="C27" s="5"/>
      <c r="D27" s="7">
        <f>SUM(D8:D26)</f>
      </c>
      <c r="E27" s="5"/>
    </row>
    <row r="29" ht="20" customHeight="1" spans="1:5" x14ac:dyDescent="0.25">
      <c r="A29" s="2" t="s">
        <v>29</v>
      </c>
      <c r="B29" s="2"/>
      <c r="C29" s="2"/>
      <c r="D29" s="2"/>
      <c r="E29" s="2"/>
    </row>
    <row r="30" spans="1:5" x14ac:dyDescent="0.25">
      <c r="A30" s="3" t="s">
        <v>30</v>
      </c>
      <c r="B30" s="3" t="s">
        <v>31</v>
      </c>
      <c r="C30" s="3"/>
      <c r="D30" s="8">
        <v>154800</v>
      </c>
      <c r="E30" s="3"/>
    </row>
    <row r="31" spans="1:5" x14ac:dyDescent="0.25">
      <c r="A31" s="3" t="s">
        <v>32</v>
      </c>
      <c r="B31" s="3" t="s">
        <v>33</v>
      </c>
      <c r="C31" s="3"/>
      <c r="D31" s="8">
        <v>698855</v>
      </c>
      <c r="E31" s="3"/>
    </row>
    <row r="32" spans="1:5" x14ac:dyDescent="0.25">
      <c r="A32" s="3" t="s">
        <v>34</v>
      </c>
      <c r="B32" s="3" t="s">
        <v>35</v>
      </c>
      <c r="C32" s="3"/>
      <c r="D32" s="8">
        <v>171000</v>
      </c>
      <c r="E32" s="3"/>
    </row>
    <row r="33" spans="1:5" x14ac:dyDescent="0.25">
      <c r="A33" s="3" t="s">
        <v>34</v>
      </c>
      <c r="B33" s="3" t="s">
        <v>36</v>
      </c>
      <c r="C33" s="3"/>
      <c r="D33" s="8">
        <v>592250</v>
      </c>
      <c r="E33" s="3"/>
    </row>
    <row r="34" spans="1:5" x14ac:dyDescent="0.25">
      <c r="A34" s="3" t="s">
        <v>37</v>
      </c>
      <c r="B34" s="3" t="s">
        <v>38</v>
      </c>
      <c r="C34" s="3"/>
      <c r="D34" s="8">
        <v>163970</v>
      </c>
      <c r="E34" s="3"/>
    </row>
    <row r="35" spans="1:5" x14ac:dyDescent="0.25">
      <c r="A35" s="3" t="s">
        <v>39</v>
      </c>
      <c r="B35" s="3" t="s">
        <v>40</v>
      </c>
      <c r="C35" s="3"/>
      <c r="D35" s="8">
        <v>592250</v>
      </c>
      <c r="E35" s="3"/>
    </row>
    <row r="36" spans="1:5" x14ac:dyDescent="0.25">
      <c r="A36" s="3" t="s">
        <v>41</v>
      </c>
      <c r="B36" s="3" t="s">
        <v>42</v>
      </c>
      <c r="C36" s="3"/>
      <c r="D36" s="8">
        <v>1184500</v>
      </c>
      <c r="E36" s="3"/>
    </row>
    <row r="37" spans="1:5" x14ac:dyDescent="0.25">
      <c r="A37" s="3" t="s">
        <v>11</v>
      </c>
      <c r="B37" s="3" t="s">
        <v>40</v>
      </c>
      <c r="C37" s="3"/>
      <c r="D37" s="8">
        <v>1188500</v>
      </c>
      <c r="E37" s="3"/>
    </row>
    <row r="38" spans="1:5" x14ac:dyDescent="0.25">
      <c r="A38" s="3" t="s">
        <v>43</v>
      </c>
      <c r="B38" s="3" t="s">
        <v>44</v>
      </c>
      <c r="C38" s="3"/>
      <c r="D38" s="8">
        <v>1188500</v>
      </c>
      <c r="E38" s="3"/>
    </row>
    <row r="39" spans="1:5" x14ac:dyDescent="0.25">
      <c r="A39" s="3" t="s">
        <v>45</v>
      </c>
      <c r="B39" s="3" t="s">
        <v>46</v>
      </c>
      <c r="C39" s="3"/>
      <c r="D39" s="8">
        <v>27000</v>
      </c>
      <c r="E39" s="3"/>
    </row>
    <row r="40" spans="1:5" x14ac:dyDescent="0.25">
      <c r="A40" s="3" t="s">
        <v>27</v>
      </c>
      <c r="B40" s="3" t="s">
        <v>38</v>
      </c>
      <c r="C40" s="3"/>
      <c r="D40" s="8">
        <v>115570</v>
      </c>
      <c r="E40" s="3"/>
    </row>
    <row r="41" spans="1:5" x14ac:dyDescent="0.25">
      <c r="A41" s="3" t="s">
        <v>47</v>
      </c>
      <c r="B41" s="3" t="s">
        <v>48</v>
      </c>
      <c r="C41" s="3"/>
      <c r="D41" s="8">
        <v>66900</v>
      </c>
      <c r="E41" s="3"/>
    </row>
    <row r="42" spans="1:5" x14ac:dyDescent="0.25">
      <c r="A42" s="5"/>
      <c r="B42" s="6" t="s">
        <v>4</v>
      </c>
      <c r="C42" s="5"/>
      <c r="D42" s="7">
        <f>SUM(D30:D41)</f>
      </c>
      <c r="E42" s="5"/>
    </row>
    <row r="44" ht="20" customHeight="1" spans="1:5" x14ac:dyDescent="0.25">
      <c r="A44" s="2" t="s">
        <v>49</v>
      </c>
      <c r="B44" s="2"/>
      <c r="C44" s="2"/>
      <c r="D44" s="2"/>
      <c r="E44" s="2"/>
    </row>
    <row r="45" spans="1:5" x14ac:dyDescent="0.25">
      <c r="A45" s="3" t="s">
        <v>50</v>
      </c>
      <c r="B45" s="3" t="s">
        <v>51</v>
      </c>
      <c r="C45" s="3"/>
      <c r="D45" s="8">
        <v>101500</v>
      </c>
      <c r="E45" s="3"/>
    </row>
    <row r="46" spans="1:5" x14ac:dyDescent="0.25">
      <c r="A46" s="3" t="s">
        <v>50</v>
      </c>
      <c r="B46" s="3" t="s">
        <v>52</v>
      </c>
      <c r="C46" s="3"/>
      <c r="D46" s="8">
        <v>120000</v>
      </c>
      <c r="E46" s="3"/>
    </row>
    <row r="47" spans="1:5" x14ac:dyDescent="0.25">
      <c r="A47" s="3" t="s">
        <v>50</v>
      </c>
      <c r="B47" s="3" t="s">
        <v>53</v>
      </c>
      <c r="C47" s="3"/>
      <c r="D47" s="8">
        <v>20000</v>
      </c>
      <c r="E47" s="3"/>
    </row>
    <row r="48" spans="1:5" x14ac:dyDescent="0.25">
      <c r="A48" s="3" t="s">
        <v>30</v>
      </c>
      <c r="B48" s="3" t="s">
        <v>54</v>
      </c>
      <c r="C48" s="3"/>
      <c r="D48" s="8">
        <v>286000</v>
      </c>
      <c r="E48" s="3"/>
    </row>
    <row r="49" spans="1:5" x14ac:dyDescent="0.25">
      <c r="A49" s="3" t="s">
        <v>32</v>
      </c>
      <c r="B49" s="3" t="s">
        <v>51</v>
      </c>
      <c r="C49" s="3"/>
      <c r="D49" s="8">
        <v>50000</v>
      </c>
      <c r="E49" s="3"/>
    </row>
    <row r="50" spans="1:5" x14ac:dyDescent="0.25">
      <c r="A50" s="3" t="s">
        <v>34</v>
      </c>
      <c r="B50" s="3" t="s">
        <v>55</v>
      </c>
      <c r="C50" s="3"/>
      <c r="D50" s="8">
        <v>150000</v>
      </c>
      <c r="E50" s="3"/>
    </row>
    <row r="51" spans="1:5" x14ac:dyDescent="0.25">
      <c r="A51" s="3" t="s">
        <v>56</v>
      </c>
      <c r="B51" s="3" t="s">
        <v>57</v>
      </c>
      <c r="C51" s="3"/>
      <c r="D51" s="8">
        <v>1621892</v>
      </c>
      <c r="E51" s="3"/>
    </row>
    <row r="52" spans="1:5" x14ac:dyDescent="0.25">
      <c r="A52" s="3" t="s">
        <v>56</v>
      </c>
      <c r="B52" s="3" t="s">
        <v>57</v>
      </c>
      <c r="C52" s="3"/>
      <c r="D52" s="8">
        <v>78600</v>
      </c>
      <c r="E52" s="3"/>
    </row>
    <row r="53" spans="1:5" x14ac:dyDescent="0.25">
      <c r="A53" s="3" t="s">
        <v>56</v>
      </c>
      <c r="B53" s="3" t="s">
        <v>58</v>
      </c>
      <c r="C53" s="3"/>
      <c r="D53" s="8">
        <v>5000</v>
      </c>
      <c r="E53" s="3"/>
    </row>
    <row r="54" spans="1:5" x14ac:dyDescent="0.25">
      <c r="A54" s="3" t="s">
        <v>56</v>
      </c>
      <c r="B54" s="3" t="s">
        <v>51</v>
      </c>
      <c r="C54" s="3"/>
      <c r="D54" s="8">
        <v>110000</v>
      </c>
      <c r="E54" s="3"/>
    </row>
    <row r="55" spans="1:5" x14ac:dyDescent="0.25">
      <c r="A55" s="3" t="s">
        <v>6</v>
      </c>
      <c r="B55" s="3" t="s">
        <v>59</v>
      </c>
      <c r="C55" s="3"/>
      <c r="D55" s="8">
        <v>440000</v>
      </c>
      <c r="E55" s="3"/>
    </row>
    <row r="56" spans="1:5" x14ac:dyDescent="0.25">
      <c r="A56" s="3" t="s">
        <v>6</v>
      </c>
      <c r="B56" s="3" t="s">
        <v>51</v>
      </c>
      <c r="C56" s="3"/>
      <c r="D56" s="8">
        <v>5000</v>
      </c>
      <c r="E56" s="3"/>
    </row>
    <row r="57" spans="1:5" x14ac:dyDescent="0.25">
      <c r="A57" s="3" t="s">
        <v>2</v>
      </c>
      <c r="B57" s="3" t="s">
        <v>60</v>
      </c>
      <c r="C57" s="3"/>
      <c r="D57" s="8">
        <v>15000</v>
      </c>
      <c r="E57" s="3"/>
    </row>
    <row r="58" spans="1:5" x14ac:dyDescent="0.25">
      <c r="A58" s="3" t="s">
        <v>2</v>
      </c>
      <c r="B58" s="3" t="s">
        <v>61</v>
      </c>
      <c r="C58" s="3"/>
      <c r="D58" s="8">
        <v>150000</v>
      </c>
      <c r="E58" s="3"/>
    </row>
    <row r="59" spans="1:5" x14ac:dyDescent="0.25">
      <c r="A59" s="3" t="s">
        <v>2</v>
      </c>
      <c r="B59" s="3" t="s">
        <v>62</v>
      </c>
      <c r="C59" s="3"/>
      <c r="D59" s="8">
        <v>215000</v>
      </c>
      <c r="E59" s="3"/>
    </row>
    <row r="60" spans="1:5" x14ac:dyDescent="0.25">
      <c r="A60" s="3" t="s">
        <v>39</v>
      </c>
      <c r="B60" s="3" t="s">
        <v>63</v>
      </c>
      <c r="C60" s="3"/>
      <c r="D60" s="8">
        <v>255000</v>
      </c>
      <c r="E60" s="3"/>
    </row>
    <row r="61" spans="1:5" x14ac:dyDescent="0.25">
      <c r="A61" s="3" t="s">
        <v>39</v>
      </c>
      <c r="B61" s="3" t="s">
        <v>64</v>
      </c>
      <c r="C61" s="3"/>
      <c r="D61" s="8">
        <v>1000000</v>
      </c>
      <c r="E61" s="3"/>
    </row>
    <row r="62" spans="1:5" x14ac:dyDescent="0.25">
      <c r="A62" s="3" t="s">
        <v>65</v>
      </c>
      <c r="B62" s="3" t="s">
        <v>66</v>
      </c>
      <c r="C62" s="3"/>
      <c r="D62" s="8">
        <v>462000</v>
      </c>
      <c r="E62" s="3"/>
    </row>
    <row r="63" spans="1:5" x14ac:dyDescent="0.25">
      <c r="A63" s="3" t="s">
        <v>65</v>
      </c>
      <c r="B63" s="3" t="s">
        <v>67</v>
      </c>
      <c r="C63" s="3"/>
      <c r="D63" s="8">
        <v>17187</v>
      </c>
      <c r="E63" s="3"/>
    </row>
    <row r="64" spans="1:5" x14ac:dyDescent="0.25">
      <c r="A64" s="3" t="s">
        <v>65</v>
      </c>
      <c r="B64" s="3" t="s">
        <v>60</v>
      </c>
      <c r="C64" s="3"/>
      <c r="D64" s="8">
        <v>12490</v>
      </c>
      <c r="E64" s="3"/>
    </row>
    <row r="65" spans="1:5" x14ac:dyDescent="0.25">
      <c r="A65" s="3" t="s">
        <v>68</v>
      </c>
      <c r="B65" s="3" t="s">
        <v>69</v>
      </c>
      <c r="C65" s="3"/>
      <c r="D65" s="8">
        <v>160510</v>
      </c>
      <c r="E65" s="3"/>
    </row>
    <row r="66" spans="1:5" x14ac:dyDescent="0.25">
      <c r="A66" s="3" t="s">
        <v>70</v>
      </c>
      <c r="B66" s="3" t="s">
        <v>71</v>
      </c>
      <c r="C66" s="3"/>
      <c r="D66" s="8">
        <v>450000</v>
      </c>
      <c r="E66" s="3"/>
    </row>
    <row r="67" spans="1:5" x14ac:dyDescent="0.25">
      <c r="A67" s="3" t="s">
        <v>70</v>
      </c>
      <c r="B67" s="3" t="s">
        <v>72</v>
      </c>
      <c r="C67" s="3"/>
      <c r="D67" s="8">
        <v>48528</v>
      </c>
      <c r="E67" s="3"/>
    </row>
    <row r="68" spans="1:5" x14ac:dyDescent="0.25">
      <c r="A68" s="3" t="s">
        <v>70</v>
      </c>
      <c r="B68" s="3" t="s">
        <v>72</v>
      </c>
      <c r="C68" s="3"/>
      <c r="D68" s="8">
        <v>53000</v>
      </c>
      <c r="E68" s="3"/>
    </row>
    <row r="69" spans="1:5" x14ac:dyDescent="0.25">
      <c r="A69" s="3" t="s">
        <v>70</v>
      </c>
      <c r="B69" s="3" t="s">
        <v>55</v>
      </c>
      <c r="C69" s="3"/>
      <c r="D69" s="8">
        <v>20220</v>
      </c>
      <c r="E69" s="3"/>
    </row>
    <row r="70" spans="1:5" x14ac:dyDescent="0.25">
      <c r="A70" s="3" t="s">
        <v>41</v>
      </c>
      <c r="B70" s="3" t="s">
        <v>73</v>
      </c>
      <c r="C70" s="3"/>
      <c r="D70" s="8">
        <v>154500</v>
      </c>
      <c r="E70" s="3"/>
    </row>
    <row r="71" spans="1:5" x14ac:dyDescent="0.25">
      <c r="A71" s="3" t="s">
        <v>41</v>
      </c>
      <c r="B71" s="3" t="s">
        <v>72</v>
      </c>
      <c r="C71" s="3"/>
      <c r="D71" s="8">
        <v>59999</v>
      </c>
      <c r="E71" s="3"/>
    </row>
    <row r="72" spans="1:5" x14ac:dyDescent="0.25">
      <c r="A72" s="3" t="s">
        <v>74</v>
      </c>
      <c r="B72" s="3" t="s">
        <v>75</v>
      </c>
      <c r="C72" s="3"/>
      <c r="D72" s="8">
        <v>705250</v>
      </c>
      <c r="E72" s="3"/>
    </row>
    <row r="73" spans="1:5" x14ac:dyDescent="0.25">
      <c r="A73" s="3" t="s">
        <v>74</v>
      </c>
      <c r="B73" s="3" t="s">
        <v>76</v>
      </c>
      <c r="C73" s="3"/>
      <c r="D73" s="8">
        <v>302250</v>
      </c>
      <c r="E73" s="3"/>
    </row>
    <row r="74" spans="1:5" x14ac:dyDescent="0.25">
      <c r="A74" s="3" t="s">
        <v>74</v>
      </c>
      <c r="B74" s="3" t="s">
        <v>77</v>
      </c>
      <c r="C74" s="3"/>
      <c r="D74" s="8">
        <v>109327</v>
      </c>
      <c r="E74" s="3"/>
    </row>
    <row r="75" spans="1:5" x14ac:dyDescent="0.25">
      <c r="A75" s="3" t="s">
        <v>78</v>
      </c>
      <c r="B75" s="3" t="s">
        <v>79</v>
      </c>
      <c r="C75" s="3"/>
      <c r="D75" s="8">
        <v>6500</v>
      </c>
      <c r="E75" s="3"/>
    </row>
    <row r="76" spans="1:5" x14ac:dyDescent="0.25">
      <c r="A76" s="3" t="s">
        <v>78</v>
      </c>
      <c r="B76" s="3" t="s">
        <v>55</v>
      </c>
      <c r="C76" s="3"/>
      <c r="D76" s="8">
        <v>9990</v>
      </c>
      <c r="E76" s="3"/>
    </row>
    <row r="77" spans="1:5" x14ac:dyDescent="0.25">
      <c r="A77" s="3" t="s">
        <v>11</v>
      </c>
      <c r="B77" s="3" t="s">
        <v>80</v>
      </c>
      <c r="C77" s="3"/>
      <c r="D77" s="8">
        <v>310000</v>
      </c>
      <c r="E77" s="3"/>
    </row>
    <row r="78" spans="1:5" x14ac:dyDescent="0.25">
      <c r="A78" s="3" t="s">
        <v>11</v>
      </c>
      <c r="B78" s="3" t="s">
        <v>63</v>
      </c>
      <c r="C78" s="3"/>
      <c r="D78" s="8">
        <v>60000</v>
      </c>
      <c r="E78" s="3"/>
    </row>
    <row r="79" spans="1:5" x14ac:dyDescent="0.25">
      <c r="A79" s="3" t="s">
        <v>45</v>
      </c>
      <c r="B79" s="3" t="s">
        <v>81</v>
      </c>
      <c r="C79" s="3"/>
      <c r="D79" s="8">
        <v>70000</v>
      </c>
      <c r="E79" s="3"/>
    </row>
    <row r="80" spans="1:5" x14ac:dyDescent="0.25">
      <c r="A80" s="3" t="s">
        <v>45</v>
      </c>
      <c r="B80" s="3" t="s">
        <v>82</v>
      </c>
      <c r="C80" s="3"/>
      <c r="D80" s="8">
        <v>255000</v>
      </c>
      <c r="E80" s="3"/>
    </row>
    <row r="81" spans="1:5" x14ac:dyDescent="0.25">
      <c r="A81" s="3" t="s">
        <v>45</v>
      </c>
      <c r="B81" s="3" t="s">
        <v>83</v>
      </c>
      <c r="C81" s="3"/>
      <c r="D81" s="8">
        <v>23000</v>
      </c>
      <c r="E81" s="3"/>
    </row>
    <row r="82" spans="1:5" x14ac:dyDescent="0.25">
      <c r="A82" s="3" t="s">
        <v>15</v>
      </c>
      <c r="B82" s="3" t="s">
        <v>84</v>
      </c>
      <c r="C82" s="3"/>
      <c r="D82" s="8">
        <v>353500</v>
      </c>
      <c r="E82" s="3"/>
    </row>
    <row r="83" spans="1:5" x14ac:dyDescent="0.25">
      <c r="A83" s="3" t="s">
        <v>15</v>
      </c>
      <c r="B83" s="3" t="s">
        <v>85</v>
      </c>
      <c r="C83" s="3"/>
      <c r="D83" s="8">
        <v>192000</v>
      </c>
      <c r="E83" s="3"/>
    </row>
    <row r="84" spans="1:5" x14ac:dyDescent="0.25">
      <c r="A84" s="3" t="s">
        <v>86</v>
      </c>
      <c r="B84" s="3" t="s">
        <v>87</v>
      </c>
      <c r="C84" s="3"/>
      <c r="D84" s="8">
        <v>484972</v>
      </c>
      <c r="E84" s="3"/>
    </row>
    <row r="85" spans="1:5" x14ac:dyDescent="0.25">
      <c r="A85" s="3" t="s">
        <v>86</v>
      </c>
      <c r="B85" s="3" t="s">
        <v>84</v>
      </c>
      <c r="C85" s="3"/>
      <c r="D85" s="8">
        <v>60660</v>
      </c>
      <c r="E85" s="3"/>
    </row>
    <row r="86" spans="1:5" x14ac:dyDescent="0.25">
      <c r="A86" s="3" t="s">
        <v>88</v>
      </c>
      <c r="B86" s="3" t="s">
        <v>89</v>
      </c>
      <c r="C86" s="3"/>
      <c r="D86" s="8">
        <v>3600000</v>
      </c>
      <c r="E86" s="3"/>
    </row>
    <row r="87" spans="1:5" x14ac:dyDescent="0.25">
      <c r="A87" s="3" t="s">
        <v>88</v>
      </c>
      <c r="B87" s="3" t="s">
        <v>90</v>
      </c>
      <c r="C87" s="3"/>
      <c r="D87" s="8">
        <v>1200000</v>
      </c>
      <c r="E87" s="3"/>
    </row>
    <row r="88" spans="1:5" x14ac:dyDescent="0.25">
      <c r="A88" s="3" t="s">
        <v>88</v>
      </c>
      <c r="B88" s="3" t="s">
        <v>91</v>
      </c>
      <c r="C88" s="3"/>
      <c r="D88" s="8">
        <v>13143</v>
      </c>
      <c r="E88" s="3"/>
    </row>
    <row r="89" spans="1:5" x14ac:dyDescent="0.25">
      <c r="A89" s="3" t="s">
        <v>88</v>
      </c>
      <c r="B89" s="3" t="s">
        <v>38</v>
      </c>
      <c r="C89" s="3"/>
      <c r="D89" s="8">
        <v>350750</v>
      </c>
      <c r="E89" s="3"/>
    </row>
    <row r="90" spans="1:5" x14ac:dyDescent="0.25">
      <c r="A90" s="3" t="s">
        <v>88</v>
      </c>
      <c r="B90" s="3" t="s">
        <v>92</v>
      </c>
      <c r="C90" s="3"/>
      <c r="D90" s="8">
        <v>50000</v>
      </c>
      <c r="E90" s="3"/>
    </row>
    <row r="91" spans="1:5" x14ac:dyDescent="0.25">
      <c r="A91" s="3" t="s">
        <v>88</v>
      </c>
      <c r="B91" s="3" t="s">
        <v>93</v>
      </c>
      <c r="C91" s="3"/>
      <c r="D91" s="8">
        <v>169203</v>
      </c>
      <c r="E91" s="3"/>
    </row>
    <row r="92" spans="1:5" x14ac:dyDescent="0.25">
      <c r="A92" s="3" t="s">
        <v>88</v>
      </c>
      <c r="B92" s="3" t="s">
        <v>92</v>
      </c>
      <c r="C92" s="3"/>
      <c r="D92" s="8">
        <v>31000</v>
      </c>
      <c r="E92" s="3"/>
    </row>
    <row r="93" spans="1:5" x14ac:dyDescent="0.25">
      <c r="A93" s="3" t="s">
        <v>88</v>
      </c>
      <c r="B93" s="3" t="s">
        <v>94</v>
      </c>
      <c r="C93" s="3"/>
      <c r="D93" s="8">
        <v>52550</v>
      </c>
      <c r="E93" s="3"/>
    </row>
    <row r="94" spans="1:5" x14ac:dyDescent="0.25">
      <c r="A94" s="3" t="s">
        <v>47</v>
      </c>
      <c r="B94" s="3" t="s">
        <v>67</v>
      </c>
      <c r="C94" s="3"/>
      <c r="D94" s="8">
        <v>28000</v>
      </c>
      <c r="E94" s="3"/>
    </row>
    <row r="95" spans="1:5" x14ac:dyDescent="0.25">
      <c r="A95" s="5"/>
      <c r="B95" s="6" t="s">
        <v>4</v>
      </c>
      <c r="C95" s="5"/>
      <c r="D95" s="7">
        <f>SUM(D45:D94)</f>
      </c>
      <c r="E95" s="5"/>
    </row>
    <row r="97" ht="20" customHeight="1" spans="1:5" x14ac:dyDescent="0.25">
      <c r="A97" s="2" t="s">
        <v>95</v>
      </c>
      <c r="B97" s="2"/>
      <c r="C97" s="2"/>
      <c r="D97" s="2"/>
      <c r="E97" s="2"/>
    </row>
    <row r="98" spans="1:5" x14ac:dyDescent="0.25">
      <c r="A98" s="3" t="s">
        <v>6</v>
      </c>
      <c r="B98" s="3" t="s">
        <v>96</v>
      </c>
      <c r="C98" s="3"/>
      <c r="D98" s="8">
        <v>2400000</v>
      </c>
      <c r="E98" s="3"/>
    </row>
    <row r="99" spans="1:5" x14ac:dyDescent="0.25">
      <c r="A99" s="5"/>
      <c r="B99" s="6" t="s">
        <v>4</v>
      </c>
      <c r="C99" s="5"/>
      <c r="D99" s="7">
        <f>SUM(D98:D98)</f>
      </c>
      <c r="E99" s="5"/>
    </row>
    <row r="101" spans="1:5" x14ac:dyDescent="0.25">
      <c r="A101" s="9" t="s">
        <v>97</v>
      </c>
      <c r="B101" s="9"/>
      <c r="C101" s="9"/>
      <c r="D101" s="9"/>
      <c r="E101" s="9"/>
    </row>
    <row r="102" spans="2:4" x14ac:dyDescent="0.25">
      <c r="B102" s="10" t="s">
        <v>98</v>
      </c>
      <c r="D102" s="11">
        <v>109482235</v>
      </c>
    </row>
    <row r="103" spans="2:4" x14ac:dyDescent="0.25">
      <c r="B103" s="10" t="s">
        <v>99</v>
      </c>
      <c r="D103" s="12">
        <f>D5</f>
      </c>
    </row>
    <row r="104" spans="2:4" x14ac:dyDescent="0.25">
      <c r="B104" s="10" t="s">
        <v>100</v>
      </c>
      <c r="D104" s="13">
        <f>D27+D42+D95+D99</f>
      </c>
    </row>
    <row r="105" ht="22" customHeight="1" spans="1:5" x14ac:dyDescent="0.25">
      <c r="A105" s="14"/>
      <c r="B105" s="15" t="s">
        <v>101</v>
      </c>
      <c r="C105" s="14"/>
      <c r="D105" s="16">
        <f>D102+D103-D104</f>
      </c>
      <c r="E105" s="14"/>
    </row>
  </sheetData>
  <mergeCells count="7">
    <mergeCell ref="A1:E1"/>
    <mergeCell ref="A3:E3"/>
    <mergeCell ref="A7:E7"/>
    <mergeCell ref="A29:E29"/>
    <mergeCell ref="A44:E44"/>
    <mergeCell ref="A97:E97"/>
    <mergeCell ref="A101:E10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Sentyabr 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2026-10-01T04:00:23Z</dcterms:created>
  <dcterms:modified xsi:type="dcterms:W3CDTF">2026-10-01T04:00:23Z</dcterms:modified>
</cp:coreProperties>
</file>