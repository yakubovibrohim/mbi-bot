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yul 2026" state="visible" r:id="rId4"/>
  </sheets>
  <calcPr calcId="171027"/>
</workbook>
</file>

<file path=xl/sharedStrings.xml><?xml version="1.0" encoding="utf-8"?>
<sst xmlns="http://schemas.openxmlformats.org/spreadsheetml/2006/main" count="32" uniqueCount="24">
  <si>
    <t>MBI MEBEL — KASSA HISOBOTI — IYUL 2026</t>
  </si>
  <si>
    <t>🤝 QARZDOR TO'LOVLARI</t>
  </si>
  <si>
    <t>05.07</t>
  </si>
  <si>
    <t>Kale gallery</t>
  </si>
  <si>
    <t>Bo'lim jami:</t>
  </si>
  <si>
    <t>👷 AVANSLAR</t>
  </si>
  <si>
    <t>04.07</t>
  </si>
  <si>
    <t>Diyor — avans ($480)</t>
  </si>
  <si>
    <t>06.07</t>
  </si>
  <si>
    <t>Sherzod — avans ($306.16)</t>
  </si>
  <si>
    <t>👛 SHAXSIY XARAJATLAR</t>
  </si>
  <si>
    <t>bog'cha puli</t>
  </si>
  <si>
    <t>zapchastlar</t>
  </si>
  <si>
    <t>dacha+uyga rozgo'or</t>
  </si>
  <si>
    <t>Karta xarajatlari 01–06.07 (bank vypiska boyicha)</t>
  </si>
  <si>
    <t>Yozilmagan mayda naqd chiqimlar 24.06–06.07 (tekshiruv farqi)</t>
  </si>
  <si>
    <t>💳 PAYME OPLATA, UZ</t>
  </si>
  <si>
    <t>07.07</t>
  </si>
  <si>
    <t>xotinga harajat</t>
  </si>
  <si>
    <t>━━━ KASSA HISOBI ━━━</t>
  </si>
  <si>
    <t>🏦 Oy boshiga qoldiq (01.07.2026):</t>
  </si>
  <si>
    <t>(+) Kassa kirimi:</t>
  </si>
  <si>
    <t>(−) Kassa chiqimi:</t>
  </si>
  <si>
    <t>IYUL OXIRI QOLDIQ: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</si>
</sst>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FFFF"/>
      <sz val="14"/>
      <name val="Arial"/>
    </font>
    <font>
      <b/>
      <color rgb="FFFFFFFF"/>
      <sz val="11"/>
      <name val="Arial"/>
    </font>
    <font>
      <color rgb="FF006100"/>
      <name val="Arial"/>
    </font>
    <font>
      <b/>
      <name val="Arial"/>
    </font>
    <font>
      <color rgb="FF9C0006"/>
      <name val="Arial"/>
    </font>
    <font>
      <b/>
      <color rgb="FF006100"/>
      <name val="Arial"/>
    </font>
    <font>
      <b/>
      <color rgb="FF9C0006"/>
      <name val="Arial"/>
    </font>
    <font>
      <b/>
      <sz val="13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F5597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/>
    <xf numFmtId="0" fontId="0" fillId="0" borderId="1" xfId="0" applyBorder="1"/>
    <xf numFmtId="3" fontId="3" fillId="0" borderId="1" xfId="0" applyNumberFormat="1" applyFont="1" applyBorder="1"/>
    <xf numFmtId="0" fontId="0" fillId="4" borderId="0" xfId="0" applyFill="1"/>
    <xf numFmtId="0" fontId="4" fillId="4" borderId="0" xfId="0" applyFont="1" applyFill="1"/>
    <xf numFmtId="3" fontId="4" fillId="4" borderId="0" xfId="0" applyNumberFormat="1" applyFont="1" applyFill="1"/>
    <xf numFmtId="3" fontId="5" fillId="0" borderId="1" xfId="0" applyNumberFormat="1" applyFont="1" applyBorder="1"/>
    <xf numFmtId="0" fontId="2" fillId="2" borderId="0" xfId="0" applyFont="1" applyFill="1"/>
    <xf numFmtId="0" fontId="4" fillId="0" borderId="0" xfId="0" applyFont="1"/>
    <xf numFmtId="3" fontId="4" fillId="0" borderId="0" xfId="0" applyNumberFormat="1" applyFont="1"/>
    <xf numFmtId="3" fontId="6" fillId="0" borderId="0" xfId="0" applyNumberFormat="1" applyFont="1"/>
    <xf numFmtId="3" fontId="7" fillId="0" borderId="0" xfId="0" applyNumberFormat="1" applyFont="1"/>
    <xf numFmtId="0" fontId="0" fillId="5" borderId="0" xfId="0" applyFill="1"/>
    <xf numFmtId="0" fontId="8" fillId="5" borderId="0" xfId="0" applyFont="1" applyFill="1"/>
    <xf numFmtId="3" fontId="8" fillId="5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FormatPr defaultRowHeight="15" outlineLevelRow="0" outlineLevelCol="0" x14ac:dyDescent="55"/>
  <cols>
    <col min="1" max="1" width="11" customWidth="1"/>
    <col min="2" max="2" width="70" customWidth="1"/>
    <col min="3" max="3" width="3" customWidth="1"/>
    <col min="4" max="4" width="17" customWidth="1"/>
    <col min="5" max="5" width="3" customWidth="1"/>
  </cols>
  <sheetData>
    <row r="1" ht="26" customHeight="1" spans="1:5" x14ac:dyDescent="0.25">
      <c r="A1" s="1" t="s">
        <v>0</v>
      </c>
      <c r="B1" s="1"/>
      <c r="C1" s="1"/>
      <c r="D1" s="1"/>
      <c r="E1" s="1"/>
    </row>
    <row r="3" ht="20" customHeight="1" spans="1:5" x14ac:dyDescent="0.25">
      <c r="A3" s="2" t="s">
        <v>1</v>
      </c>
      <c r="B3" s="2"/>
      <c r="C3" s="2"/>
      <c r="D3" s="2"/>
      <c r="E3" s="2"/>
    </row>
    <row r="4" spans="1:5" x14ac:dyDescent="0.25">
      <c r="A4" s="3" t="s">
        <v>2</v>
      </c>
      <c r="B4" s="3" t="s">
        <v>3</v>
      </c>
      <c r="C4" s="3"/>
      <c r="D4" s="4">
        <v>24000000</v>
      </c>
      <c r="E4" s="3"/>
    </row>
    <row r="5" spans="1:5" x14ac:dyDescent="0.25">
      <c r="A5" s="5"/>
      <c r="B5" s="6" t="s">
        <v>4</v>
      </c>
      <c r="C5" s="5"/>
      <c r="D5" s="7">
        <f>SUM(D4:D4)</f>
      </c>
      <c r="E5" s="5"/>
    </row>
    <row r="7" ht="20" customHeight="1" spans="1:5" x14ac:dyDescent="0.25">
      <c r="A7" s="2" t="s">
        <v>5</v>
      </c>
      <c r="B7" s="2"/>
      <c r="C7" s="2"/>
      <c r="D7" s="2"/>
      <c r="E7" s="2"/>
    </row>
    <row r="8" spans="1:5" x14ac:dyDescent="0.25">
      <c r="A8" s="3" t="s">
        <v>6</v>
      </c>
      <c r="B8" s="3" t="s">
        <v>7</v>
      </c>
      <c r="C8" s="3"/>
      <c r="D8" s="8">
        <v>5760000</v>
      </c>
      <c r="E8" s="3"/>
    </row>
    <row r="9" spans="1:5" x14ac:dyDescent="0.25">
      <c r="A9" s="3" t="s">
        <v>8</v>
      </c>
      <c r="B9" s="3" t="s">
        <v>9</v>
      </c>
      <c r="C9" s="3"/>
      <c r="D9" s="8">
        <v>3673920</v>
      </c>
      <c r="E9" s="3"/>
    </row>
    <row r="10" spans="1:5" x14ac:dyDescent="0.25">
      <c r="A10" s="5"/>
      <c r="B10" s="6" t="s">
        <v>4</v>
      </c>
      <c r="C10" s="5"/>
      <c r="D10" s="7">
        <f>SUM(D8:D9)</f>
      </c>
      <c r="E10" s="5"/>
    </row>
    <row r="12" ht="20" customHeight="1" spans="1:5" x14ac:dyDescent="0.25">
      <c r="A12" s="2" t="s">
        <v>10</v>
      </c>
      <c r="B12" s="2"/>
      <c r="C12" s="2"/>
      <c r="D12" s="2"/>
      <c r="E12" s="2"/>
    </row>
    <row r="13" spans="1:5" x14ac:dyDescent="0.25">
      <c r="A13" s="3" t="s">
        <v>8</v>
      </c>
      <c r="B13" s="3" t="s">
        <v>11</v>
      </c>
      <c r="C13" s="3"/>
      <c r="D13" s="8">
        <v>2100000</v>
      </c>
      <c r="E13" s="3"/>
    </row>
    <row r="14" spans="1:5" x14ac:dyDescent="0.25">
      <c r="A14" s="3" t="s">
        <v>8</v>
      </c>
      <c r="B14" s="3" t="s">
        <v>12</v>
      </c>
      <c r="C14" s="3"/>
      <c r="D14" s="8">
        <v>1200000</v>
      </c>
      <c r="E14" s="3"/>
    </row>
    <row r="15" spans="1:5" x14ac:dyDescent="0.25">
      <c r="A15" s="3" t="s">
        <v>8</v>
      </c>
      <c r="B15" s="3" t="s">
        <v>13</v>
      </c>
      <c r="C15" s="3"/>
      <c r="D15" s="8">
        <v>3810155</v>
      </c>
      <c r="E15" s="3"/>
    </row>
    <row r="16" spans="1:5" x14ac:dyDescent="0.25">
      <c r="A16" s="3" t="s">
        <v>8</v>
      </c>
      <c r="B16" s="3" t="s">
        <v>14</v>
      </c>
      <c r="C16" s="3"/>
      <c r="D16" s="8">
        <v>2299340</v>
      </c>
      <c r="E16" s="3"/>
    </row>
    <row r="17" spans="1:5" x14ac:dyDescent="0.25">
      <c r="A17" s="3" t="s">
        <v>8</v>
      </c>
      <c r="B17" s="3" t="s">
        <v>15</v>
      </c>
      <c r="C17" s="3"/>
      <c r="D17" s="8">
        <v>3095564</v>
      </c>
      <c r="E17" s="3"/>
    </row>
    <row r="18" spans="1:5" x14ac:dyDescent="0.25">
      <c r="A18" s="3" t="s">
        <v>8</v>
      </c>
      <c r="B18" s="3" t="s">
        <v>16</v>
      </c>
      <c r="C18" s="3"/>
      <c r="D18" s="8">
        <v>1015</v>
      </c>
      <c r="E18" s="3"/>
    </row>
    <row r="19" spans="1:5" x14ac:dyDescent="0.25">
      <c r="A19" s="3" t="s">
        <v>17</v>
      </c>
      <c r="B19" s="3" t="s">
        <v>18</v>
      </c>
      <c r="C19" s="3"/>
      <c r="D19" s="8">
        <v>100000</v>
      </c>
      <c r="E19" s="3"/>
    </row>
    <row r="20" spans="1:5" x14ac:dyDescent="0.25">
      <c r="A20" s="5"/>
      <c r="B20" s="6" t="s">
        <v>4</v>
      </c>
      <c r="C20" s="5"/>
      <c r="D20" s="7">
        <f>SUM(D13:D19)</f>
      </c>
      <c r="E20" s="5"/>
    </row>
    <row r="22" spans="1:5" x14ac:dyDescent="0.25">
      <c r="A22" s="9" t="s">
        <v>19</v>
      </c>
      <c r="B22" s="9"/>
      <c r="C22" s="9"/>
      <c r="D22" s="9"/>
      <c r="E22" s="9"/>
    </row>
    <row r="23" spans="2:4" x14ac:dyDescent="0.25">
      <c r="B23" s="10" t="s">
        <v>20</v>
      </c>
      <c r="D23" s="11">
        <v>164564059</v>
      </c>
    </row>
    <row r="24" spans="2:4" x14ac:dyDescent="0.25">
      <c r="B24" s="10" t="s">
        <v>21</v>
      </c>
      <c r="D24" s="12">
        <f>D5</f>
      </c>
    </row>
    <row r="25" spans="2:4" x14ac:dyDescent="0.25">
      <c r="B25" s="10" t="s">
        <v>22</v>
      </c>
      <c r="D25" s="13">
        <f>D10+D20</f>
      </c>
    </row>
    <row r="26" ht="22" customHeight="1" spans="1:5" x14ac:dyDescent="0.25">
      <c r="A26" s="14"/>
      <c r="B26" s="15" t="s">
        <v>23</v>
      </c>
      <c r="C26" s="14"/>
      <c r="D26" s="16">
        <f>D23+D24-D25</f>
      </c>
      <c r="E26" s="14"/>
    </row>
  </sheetData>
  <mergeCells count="5">
    <mergeCell ref="A1:E1"/>
    <mergeCell ref="A3:E3"/>
    <mergeCell ref="A7:E7"/>
    <mergeCell ref="A12:E12"/>
    <mergeCell ref="A22:E2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Iyul 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2026-07-07T07:11:56Z</dcterms:created>
  <dcterms:modified xsi:type="dcterms:W3CDTF">2026-07-07T07:11:56Z</dcterms:modified>
</cp:coreProperties>
</file>